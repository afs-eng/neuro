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oftware\SYSTEMA-NEURO\"/>
    </mc:Choice>
  </mc:AlternateContent>
  <xr:revisionPtr revIDLastSave="0" documentId="13_ncr:1_{225C9FB6-760A-4A17-866B-D9BD5E4519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SC-IV" sheetId="1" r:id="rId1"/>
    <sheet name="FDT" sheetId="2" r:id="rId2"/>
    <sheet name="BPA" sheetId="3" r:id="rId3"/>
    <sheet name="Planilha3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</calcChain>
</file>

<file path=xl/sharedStrings.xml><?xml version="1.0" encoding="utf-8"?>
<sst xmlns="http://schemas.openxmlformats.org/spreadsheetml/2006/main" count="49" uniqueCount="42">
  <si>
    <t>FLEXIBILIDADE</t>
  </si>
  <si>
    <t>INIBIÇÃO</t>
  </si>
  <si>
    <t>ALTERNÂNCIA</t>
  </si>
  <si>
    <t>ESCOLHA</t>
  </si>
  <si>
    <t>Sem Indicativo de Déficit</t>
  </si>
  <si>
    <t>Indicativo de Dificuldade Discreta</t>
  </si>
  <si>
    <t>Indicativo de Déficit</t>
  </si>
  <si>
    <t>Desempenho %</t>
  </si>
  <si>
    <t>Erros</t>
  </si>
  <si>
    <t>Tempo Obtido</t>
  </si>
  <si>
    <t>Tempo Médio</t>
  </si>
  <si>
    <t>FDT  PROCESSOS CONTROLADOS</t>
  </si>
  <si>
    <t>CONTAGEM</t>
  </si>
  <si>
    <t>LEITURA</t>
  </si>
  <si>
    <t>FDT  PROCESSOS AUTOMÁTICOS</t>
  </si>
  <si>
    <t>ATENÇÃO GERAL</t>
  </si>
  <si>
    <t>ATENÇÃO ALTERNADA</t>
  </si>
  <si>
    <t>ATENÇÃO DIVIDIDA</t>
  </si>
  <si>
    <t>ATENÇÃO CONCENTRADA</t>
  </si>
  <si>
    <t>Percentil Obtido</t>
  </si>
  <si>
    <t>Escore Bruto</t>
  </si>
  <si>
    <t>Escore Minímo</t>
  </si>
  <si>
    <t>Escore Médio</t>
  </si>
  <si>
    <t>Escore Máximo</t>
  </si>
  <si>
    <t>BPA - BATERIA PSICOLÓGICA PARA AVALIAÇÃO DA ATENÇÃO</t>
  </si>
  <si>
    <t xml:space="preserve">Desempenho </t>
  </si>
  <si>
    <t>A1</t>
  </si>
  <si>
    <t>A2</t>
  </si>
  <si>
    <t>A3</t>
  </si>
  <si>
    <t>A4</t>
  </si>
  <si>
    <t>A5</t>
  </si>
  <si>
    <t>B1</t>
  </si>
  <si>
    <t>A6</t>
  </si>
  <si>
    <t>A7</t>
  </si>
  <si>
    <t>R</t>
  </si>
  <si>
    <t>ALT</t>
  </si>
  <si>
    <t>RET</t>
  </si>
  <si>
    <t>I.P.</t>
  </si>
  <si>
    <t>I.R.</t>
  </si>
  <si>
    <t>Esperado</t>
  </si>
  <si>
    <t>Mínimo</t>
  </si>
  <si>
    <t xml:space="preserve">Obtido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</si>
</sst>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rgb="FFA8D08D"/>
      </right>
      <top/>
      <bottom style="medium">
        <color rgb="FFA8D08D"/>
      </bottom>
      <diagonal/>
    </border>
    <border>
      <left style="medium">
        <color rgb="FFA8D08D"/>
      </left>
      <right style="medium">
        <color rgb="FFA8D08D"/>
      </right>
      <top/>
      <bottom style="medium">
        <color rgb="FFA8D08D"/>
      </bottom>
      <diagonal/>
    </border>
    <border>
      <left/>
      <right style="medium">
        <color rgb="FFA8D08D"/>
      </right>
      <top style="medium">
        <color rgb="FFA8D08D"/>
      </top>
      <bottom style="medium">
        <color rgb="FFA8D08D"/>
      </bottom>
      <diagonal/>
    </border>
    <border>
      <left style="medium">
        <color rgb="FFA8D08D"/>
      </left>
      <right style="medium">
        <color rgb="FFA8D08D"/>
      </right>
      <top style="medium">
        <color rgb="FFA8D08D"/>
      </top>
      <bottom style="medium">
        <color rgb="FFA8D08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>
                <a:solidFill>
                  <a:schemeClr val="accent6">
                    <a:lumMod val="50000"/>
                  </a:schemeClr>
                </a:solidFill>
              </a:rPr>
              <a:t>WISC-IV INDICES QIs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6767241258551014E-2"/>
          <c:y val="0.16306887501131323"/>
          <c:w val="0.82620749033214747"/>
          <c:h val="0.73695200429975249"/>
        </c:manualLayout>
      </c:layout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7F-445D-A241-E13E6C3D6E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7F-445D-A241-E13E6C3D6E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7F-445D-A241-E13E6C3D6E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7F-445D-A241-E13E6C3D6E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C7F-445D-A241-E13E6C3D6E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C7F-445D-A241-E13E6C3D6EC2}"/>
              </c:ext>
            </c:extLst>
          </c:dPt>
          <c:dPt>
            <c:idx val="6"/>
            <c:invertIfNegative val="0"/>
            <c:bubble3D val="0"/>
            <c:spPr>
              <a:solidFill>
                <a:srgbClr val="3F6E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C7F-445D-A241-E13E6C3D6E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C7F-445D-A241-E13E6C3D6E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fixedVal"/>
            <c:noEndCap val="0"/>
            <c:val val="7.5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'[1]WISC-IV'!$U$47:$U$54</c:f>
              <c:strCache>
                <c:ptCount val="8"/>
                <c:pt idx="0">
                  <c:v>ICV</c:v>
                </c:pt>
                <c:pt idx="1">
                  <c:v>IOP</c:v>
                </c:pt>
                <c:pt idx="2">
                  <c:v>IMO</c:v>
                </c:pt>
                <c:pt idx="3">
                  <c:v>IVP</c:v>
                </c:pt>
                <c:pt idx="5">
                  <c:v>QI Total</c:v>
                </c:pt>
                <c:pt idx="6">
                  <c:v>GAI</c:v>
                </c:pt>
                <c:pt idx="7">
                  <c:v>CPI</c:v>
                </c:pt>
              </c:strCache>
            </c:strRef>
          </c:cat>
          <c:val>
            <c:numRef>
              <c:f>'[1]WISC-IV'!$V$47:$V$54</c:f>
              <c:numCache>
                <c:formatCode>General</c:formatCode>
                <c:ptCount val="8"/>
                <c:pt idx="0">
                  <c:v>125</c:v>
                </c:pt>
                <c:pt idx="1">
                  <c:v>86</c:v>
                </c:pt>
                <c:pt idx="2">
                  <c:v>88</c:v>
                </c:pt>
                <c:pt idx="3">
                  <c:v>83</c:v>
                </c:pt>
                <c:pt idx="5">
                  <c:v>97</c:v>
                </c:pt>
                <c:pt idx="6">
                  <c:v>106</c:v>
                </c:pt>
                <c:pt idx="7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C7F-445D-A241-E13E6C3D6E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964342912"/>
        <c:axId val="1040752144"/>
      </c:barChart>
      <c:catAx>
        <c:axId val="96434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040752144"/>
        <c:crosses val="autoZero"/>
        <c:auto val="1"/>
        <c:lblAlgn val="ctr"/>
        <c:lblOffset val="100"/>
        <c:noMultiLvlLbl val="0"/>
      </c:catAx>
      <c:valAx>
        <c:axId val="1040752144"/>
        <c:scaling>
          <c:orientation val="minMax"/>
          <c:max val="16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Pontos Compostos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964342912"/>
        <c:crosses val="autoZero"/>
        <c:crossBetween val="between"/>
        <c:majorUnit val="10"/>
        <c:minorUnit val="5"/>
      </c:valAx>
      <c:spPr>
        <a:gradFill>
          <a:gsLst>
            <a:gs pos="64000">
              <a:srgbClr val="FFFF00">
                <a:alpha val="50000"/>
              </a:srgbClr>
            </a:gs>
            <a:gs pos="39000">
              <a:schemeClr val="tx2">
                <a:lumMod val="60000"/>
                <a:lumOff val="40000"/>
                <a:alpha val="50000"/>
              </a:schemeClr>
            </a:gs>
            <a:gs pos="62000">
              <a:schemeClr val="tx2">
                <a:lumMod val="60000"/>
                <a:lumOff val="40000"/>
                <a:alpha val="50000"/>
              </a:schemeClr>
            </a:gs>
            <a:gs pos="37000">
              <a:srgbClr val="80E000">
                <a:alpha val="50000"/>
              </a:srgb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7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>
                <a:solidFill>
                  <a:schemeClr val="accent6">
                    <a:lumMod val="75000"/>
                  </a:schemeClr>
                </a:solidFill>
              </a:rPr>
              <a:t>FDT Processos Controlados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7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FDT!$A$14</c:f>
              <c:strCache>
                <c:ptCount val="1"/>
                <c:pt idx="0">
                  <c:v>ESCOLHA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FDT!$B$13:$H$13</c:f>
              <c:strCache>
                <c:ptCount val="7"/>
                <c:pt idx="0">
                  <c:v>Tempo Médio</c:v>
                </c:pt>
                <c:pt idx="1">
                  <c:v>Tempo Obtido</c:v>
                </c:pt>
                <c:pt idx="2">
                  <c:v>Erros</c:v>
                </c:pt>
                <c:pt idx="3">
                  <c:v>Desempenho %</c:v>
                </c:pt>
                <c:pt idx="4">
                  <c:v>Indicativo de Déficit</c:v>
                </c:pt>
                <c:pt idx="5">
                  <c:v>Indicativo de Dificuldade Discreta</c:v>
                </c:pt>
                <c:pt idx="6">
                  <c:v>Sem Indicativo de Déficit</c:v>
                </c:pt>
              </c:strCache>
            </c:strRef>
          </c:cat>
          <c:val>
            <c:numRef>
              <c:f>FDT!$B$14:$H$14</c:f>
              <c:numCache>
                <c:formatCode>General</c:formatCode>
                <c:ptCount val="7"/>
                <c:pt idx="0">
                  <c:v>36.9</c:v>
                </c:pt>
                <c:pt idx="1">
                  <c:v>40</c:v>
                </c:pt>
                <c:pt idx="2">
                  <c:v>0</c:v>
                </c:pt>
                <c:pt idx="3">
                  <c:v>75</c:v>
                </c:pt>
                <c:pt idx="4">
                  <c:v>5</c:v>
                </c:pt>
                <c:pt idx="5">
                  <c:v>25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E-43EC-AFCE-FB59D35FE8F6}"/>
            </c:ext>
          </c:extLst>
        </c:ser>
        <c:ser>
          <c:idx val="1"/>
          <c:order val="1"/>
          <c:tx>
            <c:strRef>
              <c:f>FDT!$A$15</c:f>
              <c:strCache>
                <c:ptCount val="1"/>
                <c:pt idx="0">
                  <c:v>ALTERNÂNCIA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FDT!$B$13:$H$13</c:f>
              <c:strCache>
                <c:ptCount val="7"/>
                <c:pt idx="0">
                  <c:v>Tempo Médio</c:v>
                </c:pt>
                <c:pt idx="1">
                  <c:v>Tempo Obtido</c:v>
                </c:pt>
                <c:pt idx="2">
                  <c:v>Erros</c:v>
                </c:pt>
                <c:pt idx="3">
                  <c:v>Desempenho %</c:v>
                </c:pt>
                <c:pt idx="4">
                  <c:v>Indicativo de Déficit</c:v>
                </c:pt>
                <c:pt idx="5">
                  <c:v>Indicativo de Dificuldade Discreta</c:v>
                </c:pt>
                <c:pt idx="6">
                  <c:v>Sem Indicativo de Déficit</c:v>
                </c:pt>
              </c:strCache>
            </c:strRef>
          </c:cat>
          <c:val>
            <c:numRef>
              <c:f>FDT!$B$15:$H$15</c:f>
              <c:numCache>
                <c:formatCode>General</c:formatCode>
                <c:ptCount val="7"/>
                <c:pt idx="0">
                  <c:v>46</c:v>
                </c:pt>
                <c:pt idx="1">
                  <c:v>34.49</c:v>
                </c:pt>
                <c:pt idx="2">
                  <c:v>0</c:v>
                </c:pt>
                <c:pt idx="3">
                  <c:v>75</c:v>
                </c:pt>
                <c:pt idx="4">
                  <c:v>5</c:v>
                </c:pt>
                <c:pt idx="5">
                  <c:v>25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E-43EC-AFCE-FB59D35FE8F6}"/>
            </c:ext>
          </c:extLst>
        </c:ser>
        <c:ser>
          <c:idx val="2"/>
          <c:order val="2"/>
          <c:tx>
            <c:strRef>
              <c:f>FDT!$A$16</c:f>
              <c:strCache>
                <c:ptCount val="1"/>
                <c:pt idx="0">
                  <c:v>INIBIÇÃO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FDT!$B$13:$H$13</c:f>
              <c:strCache>
                <c:ptCount val="7"/>
                <c:pt idx="0">
                  <c:v>Tempo Médio</c:v>
                </c:pt>
                <c:pt idx="1">
                  <c:v>Tempo Obtido</c:v>
                </c:pt>
                <c:pt idx="2">
                  <c:v>Erros</c:v>
                </c:pt>
                <c:pt idx="3">
                  <c:v>Desempenho %</c:v>
                </c:pt>
                <c:pt idx="4">
                  <c:v>Indicativo de Déficit</c:v>
                </c:pt>
                <c:pt idx="5">
                  <c:v>Indicativo de Dificuldade Discreta</c:v>
                </c:pt>
                <c:pt idx="6">
                  <c:v>Sem Indicativo de Déficit</c:v>
                </c:pt>
              </c:strCache>
            </c:strRef>
          </c:cat>
          <c:val>
            <c:numRef>
              <c:f>FDT!$B$16:$H$16</c:f>
              <c:numCache>
                <c:formatCode>General</c:formatCode>
                <c:ptCount val="7"/>
                <c:pt idx="0">
                  <c:v>14.8</c:v>
                </c:pt>
                <c:pt idx="1">
                  <c:v>33</c:v>
                </c:pt>
                <c:pt idx="2">
                  <c:v>0</c:v>
                </c:pt>
                <c:pt idx="3">
                  <c:v>75</c:v>
                </c:pt>
                <c:pt idx="4">
                  <c:v>5</c:v>
                </c:pt>
                <c:pt idx="5">
                  <c:v>25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9E-43EC-AFCE-FB59D35FE8F6}"/>
            </c:ext>
          </c:extLst>
        </c:ser>
        <c:ser>
          <c:idx val="3"/>
          <c:order val="3"/>
          <c:tx>
            <c:strRef>
              <c:f>FDT!$A$17</c:f>
              <c:strCache>
                <c:ptCount val="1"/>
                <c:pt idx="0">
                  <c:v>FLEXIBILIDADE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FDT!$B$13:$H$13</c:f>
              <c:strCache>
                <c:ptCount val="7"/>
                <c:pt idx="0">
                  <c:v>Tempo Médio</c:v>
                </c:pt>
                <c:pt idx="1">
                  <c:v>Tempo Obtido</c:v>
                </c:pt>
                <c:pt idx="2">
                  <c:v>Erros</c:v>
                </c:pt>
                <c:pt idx="3">
                  <c:v>Desempenho %</c:v>
                </c:pt>
                <c:pt idx="4">
                  <c:v>Indicativo de Déficit</c:v>
                </c:pt>
                <c:pt idx="5">
                  <c:v>Indicativo de Dificuldade Discreta</c:v>
                </c:pt>
                <c:pt idx="6">
                  <c:v>Sem Indicativo de Déficit</c:v>
                </c:pt>
              </c:strCache>
            </c:strRef>
          </c:cat>
          <c:val>
            <c:numRef>
              <c:f>FDT!$B$17:$H$17</c:f>
              <c:numCache>
                <c:formatCode>General</c:formatCode>
                <c:ptCount val="7"/>
                <c:pt idx="0">
                  <c:v>23.9</c:v>
                </c:pt>
                <c:pt idx="1">
                  <c:v>15.9</c:v>
                </c:pt>
                <c:pt idx="2">
                  <c:v>0</c:v>
                </c:pt>
                <c:pt idx="3">
                  <c:v>75</c:v>
                </c:pt>
                <c:pt idx="4">
                  <c:v>5</c:v>
                </c:pt>
                <c:pt idx="5">
                  <c:v>25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9E-43EC-AFCE-FB59D35FE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1534688"/>
        <c:axId val="1521535168"/>
      </c:barChart>
      <c:catAx>
        <c:axId val="1521534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21535168"/>
        <c:crosses val="autoZero"/>
        <c:auto val="1"/>
        <c:lblAlgn val="ctr"/>
        <c:lblOffset val="100"/>
        <c:noMultiLvlLbl val="0"/>
      </c:catAx>
      <c:valAx>
        <c:axId val="152153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2153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7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accent6">
                    <a:lumMod val="75000"/>
                  </a:schemeClr>
                </a:solidFill>
              </a:rPr>
              <a:t>FDT Processos Automáticos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7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FDT!$A$4</c:f>
              <c:strCache>
                <c:ptCount val="1"/>
                <c:pt idx="0">
                  <c:v>LEITURA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FDT!$B$3:$H$3</c:f>
              <c:strCache>
                <c:ptCount val="7"/>
                <c:pt idx="0">
                  <c:v>Tempo Médio</c:v>
                </c:pt>
                <c:pt idx="1">
                  <c:v>Tempo Obtido</c:v>
                </c:pt>
                <c:pt idx="2">
                  <c:v>Erros</c:v>
                </c:pt>
                <c:pt idx="3">
                  <c:v>Desempenho %</c:v>
                </c:pt>
                <c:pt idx="4">
                  <c:v>Indicativo de Déficit</c:v>
                </c:pt>
                <c:pt idx="5">
                  <c:v>Indicativo de Dificuldade Discreta</c:v>
                </c:pt>
                <c:pt idx="6">
                  <c:v>Sem Indicativo de Déficit</c:v>
                </c:pt>
              </c:strCache>
            </c:strRef>
          </c:cat>
          <c:val>
            <c:numRef>
              <c:f>FDT!$B$4:$H$4</c:f>
              <c:numCache>
                <c:formatCode>General</c:formatCode>
                <c:ptCount val="7"/>
                <c:pt idx="0">
                  <c:v>22</c:v>
                </c:pt>
                <c:pt idx="1">
                  <c:v>18.59</c:v>
                </c:pt>
                <c:pt idx="2">
                  <c:v>0</c:v>
                </c:pt>
                <c:pt idx="3">
                  <c:v>75</c:v>
                </c:pt>
                <c:pt idx="4">
                  <c:v>5</c:v>
                </c:pt>
                <c:pt idx="5">
                  <c:v>25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7-43CE-BEC7-0C11F86E2623}"/>
            </c:ext>
          </c:extLst>
        </c:ser>
        <c:ser>
          <c:idx val="1"/>
          <c:order val="1"/>
          <c:tx>
            <c:strRef>
              <c:f>FDT!$A$5</c:f>
              <c:strCache>
                <c:ptCount val="1"/>
                <c:pt idx="0">
                  <c:v>CONTAGEM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FDT!$B$3:$H$3</c:f>
              <c:strCache>
                <c:ptCount val="7"/>
                <c:pt idx="0">
                  <c:v>Tempo Médio</c:v>
                </c:pt>
                <c:pt idx="1">
                  <c:v>Tempo Obtido</c:v>
                </c:pt>
                <c:pt idx="2">
                  <c:v>Erros</c:v>
                </c:pt>
                <c:pt idx="3">
                  <c:v>Desempenho %</c:v>
                </c:pt>
                <c:pt idx="4">
                  <c:v>Indicativo de Déficit</c:v>
                </c:pt>
                <c:pt idx="5">
                  <c:v>Indicativo de Dificuldade Discreta</c:v>
                </c:pt>
                <c:pt idx="6">
                  <c:v>Sem Indicativo de Déficit</c:v>
                </c:pt>
              </c:strCache>
            </c:strRef>
          </c:cat>
          <c:val>
            <c:numRef>
              <c:f>FDT!$B$5:$H$5</c:f>
              <c:numCache>
                <c:formatCode>General</c:formatCode>
                <c:ptCount val="7"/>
                <c:pt idx="0">
                  <c:v>24.8</c:v>
                </c:pt>
                <c:pt idx="1">
                  <c:v>21.9</c:v>
                </c:pt>
                <c:pt idx="2">
                  <c:v>0</c:v>
                </c:pt>
                <c:pt idx="3">
                  <c:v>75</c:v>
                </c:pt>
                <c:pt idx="4">
                  <c:v>5</c:v>
                </c:pt>
                <c:pt idx="5">
                  <c:v>25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57-43CE-BEC7-0C11F86E2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1687808"/>
        <c:axId val="1521693568"/>
      </c:barChart>
      <c:catAx>
        <c:axId val="152168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21693568"/>
        <c:crosses val="autoZero"/>
        <c:auto val="1"/>
        <c:lblAlgn val="ctr"/>
        <c:lblOffset val="100"/>
        <c:noMultiLvlLbl val="0"/>
      </c:catAx>
      <c:valAx>
        <c:axId val="152169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2168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baseline="0">
                <a:solidFill>
                  <a:srgbClr val="70AD47">
                    <a:lumMod val="50000"/>
                  </a:srgb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0" i="0" u="none" strike="noStrike" kern="1200" spc="0" baseline="0">
                <a:solidFill>
                  <a:schemeClr val="accent6">
                    <a:lumMod val="75000"/>
                  </a:scheme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 BPA - BATERIA PSICOLÓGICA PARA AVALIAÇÃO DA ATENÇÃO</a:t>
            </a:r>
            <a:endParaRPr lang="pt-BR" sz="1200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baseline="0">
              <a:solidFill>
                <a:srgbClr val="70AD47">
                  <a:lumMod val="50000"/>
                </a:srgb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BPA!$A$4</c:f>
              <c:strCache>
                <c:ptCount val="1"/>
                <c:pt idx="0">
                  <c:v>ATENÇÃO CONCENTRADA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BPA!$B$3:$F$3</c:f>
              <c:strCache>
                <c:ptCount val="5"/>
                <c:pt idx="0">
                  <c:v>Escore Máximo</c:v>
                </c:pt>
                <c:pt idx="1">
                  <c:v>Escore Médio</c:v>
                </c:pt>
                <c:pt idx="2">
                  <c:v>Escore Minímo</c:v>
                </c:pt>
                <c:pt idx="3">
                  <c:v>Escore Bruto</c:v>
                </c:pt>
                <c:pt idx="4">
                  <c:v>Percentil Obtido</c:v>
                </c:pt>
              </c:strCache>
            </c:strRef>
          </c:cat>
          <c:val>
            <c:numRef>
              <c:f>BPA!$B$4:$F$4</c:f>
              <c:numCache>
                <c:formatCode>General</c:formatCode>
                <c:ptCount val="5"/>
                <c:pt idx="0">
                  <c:v>120</c:v>
                </c:pt>
                <c:pt idx="1">
                  <c:v>86</c:v>
                </c:pt>
                <c:pt idx="2">
                  <c:v>59</c:v>
                </c:pt>
                <c:pt idx="3">
                  <c:v>88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B-4007-96FB-B144C9DFAB2F}"/>
            </c:ext>
          </c:extLst>
        </c:ser>
        <c:ser>
          <c:idx val="1"/>
          <c:order val="1"/>
          <c:tx>
            <c:strRef>
              <c:f>BPA!$A$5</c:f>
              <c:strCache>
                <c:ptCount val="1"/>
                <c:pt idx="0">
                  <c:v>ATENÇÃO DIVIDIDA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BPA!$B$3:$F$3</c:f>
              <c:strCache>
                <c:ptCount val="5"/>
                <c:pt idx="0">
                  <c:v>Escore Máximo</c:v>
                </c:pt>
                <c:pt idx="1">
                  <c:v>Escore Médio</c:v>
                </c:pt>
                <c:pt idx="2">
                  <c:v>Escore Minímo</c:v>
                </c:pt>
                <c:pt idx="3">
                  <c:v>Escore Bruto</c:v>
                </c:pt>
                <c:pt idx="4">
                  <c:v>Percentil Obtido</c:v>
                </c:pt>
              </c:strCache>
            </c:strRef>
          </c:cat>
          <c:val>
            <c:numRef>
              <c:f>BPA!$B$5:$F$5</c:f>
              <c:numCache>
                <c:formatCode>General</c:formatCode>
                <c:ptCount val="5"/>
                <c:pt idx="0">
                  <c:v>118</c:v>
                </c:pt>
                <c:pt idx="1">
                  <c:v>62</c:v>
                </c:pt>
                <c:pt idx="2">
                  <c:v>26</c:v>
                </c:pt>
                <c:pt idx="3">
                  <c:v>79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B-4007-96FB-B144C9DFAB2F}"/>
            </c:ext>
          </c:extLst>
        </c:ser>
        <c:ser>
          <c:idx val="2"/>
          <c:order val="2"/>
          <c:tx>
            <c:strRef>
              <c:f>BPA!$A$6</c:f>
              <c:strCache>
                <c:ptCount val="1"/>
                <c:pt idx="0">
                  <c:v>ATENÇÃO ALTERNADA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BPA!$B$3:$F$3</c:f>
              <c:strCache>
                <c:ptCount val="5"/>
                <c:pt idx="0">
                  <c:v>Escore Máximo</c:v>
                </c:pt>
                <c:pt idx="1">
                  <c:v>Escore Médio</c:v>
                </c:pt>
                <c:pt idx="2">
                  <c:v>Escore Minímo</c:v>
                </c:pt>
                <c:pt idx="3">
                  <c:v>Escore Bruto</c:v>
                </c:pt>
                <c:pt idx="4">
                  <c:v>Percentil Obtido</c:v>
                </c:pt>
              </c:strCache>
            </c:strRef>
          </c:cat>
          <c:val>
            <c:numRef>
              <c:f>BPA!$B$6:$F$6</c:f>
              <c:numCache>
                <c:formatCode>General</c:formatCode>
                <c:ptCount val="5"/>
                <c:pt idx="0">
                  <c:v>120</c:v>
                </c:pt>
                <c:pt idx="1">
                  <c:v>77</c:v>
                </c:pt>
                <c:pt idx="2">
                  <c:v>45</c:v>
                </c:pt>
                <c:pt idx="3">
                  <c:v>86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6B-4007-96FB-B144C9DFAB2F}"/>
            </c:ext>
          </c:extLst>
        </c:ser>
        <c:ser>
          <c:idx val="3"/>
          <c:order val="3"/>
          <c:tx>
            <c:strRef>
              <c:f>BPA!$A$7</c:f>
              <c:strCache>
                <c:ptCount val="1"/>
                <c:pt idx="0">
                  <c:v>ATENÇÃO GERAL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BPA!$B$3:$F$3</c:f>
              <c:strCache>
                <c:ptCount val="5"/>
                <c:pt idx="0">
                  <c:v>Escore Máximo</c:v>
                </c:pt>
                <c:pt idx="1">
                  <c:v>Escore Médio</c:v>
                </c:pt>
                <c:pt idx="2">
                  <c:v>Escore Minímo</c:v>
                </c:pt>
                <c:pt idx="3">
                  <c:v>Escore Bruto</c:v>
                </c:pt>
                <c:pt idx="4">
                  <c:v>Percentil Obtido</c:v>
                </c:pt>
              </c:strCache>
            </c:strRef>
          </c:cat>
          <c:val>
            <c:numRef>
              <c:f>BPA!$B$7:$F$7</c:f>
              <c:numCache>
                <c:formatCode>General</c:formatCode>
                <c:ptCount val="5"/>
                <c:pt idx="0">
                  <c:v>341</c:v>
                </c:pt>
                <c:pt idx="1">
                  <c:v>222</c:v>
                </c:pt>
                <c:pt idx="2">
                  <c:v>150</c:v>
                </c:pt>
                <c:pt idx="3">
                  <c:v>253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6B-4007-96FB-B144C9DFAB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7722944"/>
        <c:axId val="767706624"/>
      </c:barChart>
      <c:catAx>
        <c:axId val="7677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767706624"/>
        <c:crosses val="autoZero"/>
        <c:auto val="1"/>
        <c:lblAlgn val="ctr"/>
        <c:lblOffset val="100"/>
        <c:noMultiLvlLbl val="0"/>
      </c:catAx>
      <c:valAx>
        <c:axId val="767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76772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>
                <a:solidFill>
                  <a:schemeClr val="accent6">
                    <a:lumMod val="50000"/>
                  </a:schemeClr>
                </a:solidFill>
              </a:rPr>
              <a:t>RAVLT - Quantidade de palavras evocadas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Planilha3!$A$2</c:f>
              <c:strCache>
                <c:ptCount val="1"/>
                <c:pt idx="0">
                  <c:v>Esperado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Planilha3!$B$1:$N$1</c:f>
              <c:strCache>
                <c:ptCount val="13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B1</c:v>
                </c:pt>
                <c:pt idx="6">
                  <c:v>A6</c:v>
                </c:pt>
                <c:pt idx="7">
                  <c:v>A7</c:v>
                </c:pt>
                <c:pt idx="8">
                  <c:v>R</c:v>
                </c:pt>
                <c:pt idx="9">
                  <c:v>ALT</c:v>
                </c:pt>
                <c:pt idx="10">
                  <c:v>RET</c:v>
                </c:pt>
                <c:pt idx="11">
                  <c:v>I.P.</c:v>
                </c:pt>
                <c:pt idx="12">
                  <c:v>I.R.</c:v>
                </c:pt>
              </c:strCache>
            </c:strRef>
          </c:cat>
          <c:val>
            <c:numRef>
              <c:f>Planilha3!$B$2:$N$2</c:f>
              <c:numCache>
                <c:formatCode>General</c:formatCode>
                <c:ptCount val="13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6</c:v>
                </c:pt>
                <c:pt idx="6">
                  <c:v>10</c:v>
                </c:pt>
                <c:pt idx="7">
                  <c:v>10</c:v>
                </c:pt>
                <c:pt idx="8">
                  <c:v>15</c:v>
                </c:pt>
                <c:pt idx="9">
                  <c:v>13</c:v>
                </c:pt>
                <c:pt idx="10">
                  <c:v>1</c:v>
                </c:pt>
                <c:pt idx="11">
                  <c:v>0.88</c:v>
                </c:pt>
                <c:pt idx="1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0-4E28-834E-426F58BF6910}"/>
            </c:ext>
          </c:extLst>
        </c:ser>
        <c:ser>
          <c:idx val="1"/>
          <c:order val="1"/>
          <c:tx>
            <c:strRef>
              <c:f>Planilha3!$A$3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Planilha3!$B$1:$N$1</c:f>
              <c:strCache>
                <c:ptCount val="13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B1</c:v>
                </c:pt>
                <c:pt idx="6">
                  <c:v>A6</c:v>
                </c:pt>
                <c:pt idx="7">
                  <c:v>A7</c:v>
                </c:pt>
                <c:pt idx="8">
                  <c:v>R</c:v>
                </c:pt>
                <c:pt idx="9">
                  <c:v>ALT</c:v>
                </c:pt>
                <c:pt idx="10">
                  <c:v>RET</c:v>
                </c:pt>
                <c:pt idx="11">
                  <c:v>I.P.</c:v>
                </c:pt>
                <c:pt idx="12">
                  <c:v>I.R.</c:v>
                </c:pt>
              </c:strCache>
            </c:strRef>
          </c:cat>
          <c:val>
            <c:numRef>
              <c:f>Planilha3!$B$3:$N$3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4</c:v>
                </c:pt>
                <c:pt idx="6">
                  <c:v>9</c:v>
                </c:pt>
                <c:pt idx="7">
                  <c:v>7</c:v>
                </c:pt>
                <c:pt idx="8">
                  <c:v>12</c:v>
                </c:pt>
                <c:pt idx="9">
                  <c:v>7</c:v>
                </c:pt>
                <c:pt idx="10">
                  <c:v>0.89</c:v>
                </c:pt>
                <c:pt idx="11">
                  <c:v>0.73</c:v>
                </c:pt>
                <c:pt idx="1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0-4E28-834E-426F58BF6910}"/>
            </c:ext>
          </c:extLst>
        </c:ser>
        <c:ser>
          <c:idx val="2"/>
          <c:order val="2"/>
          <c:tx>
            <c:strRef>
              <c:f>Planilha3!$A$4</c:f>
              <c:strCache>
                <c:ptCount val="1"/>
                <c:pt idx="0">
                  <c:v>Obtido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Planilha3!$B$1:$N$1</c:f>
              <c:strCache>
                <c:ptCount val="13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B1</c:v>
                </c:pt>
                <c:pt idx="6">
                  <c:v>A6</c:v>
                </c:pt>
                <c:pt idx="7">
                  <c:v>A7</c:v>
                </c:pt>
                <c:pt idx="8">
                  <c:v>R</c:v>
                </c:pt>
                <c:pt idx="9">
                  <c:v>ALT</c:v>
                </c:pt>
                <c:pt idx="10">
                  <c:v>RET</c:v>
                </c:pt>
                <c:pt idx="11">
                  <c:v>I.P.</c:v>
                </c:pt>
                <c:pt idx="12">
                  <c:v>I.R.</c:v>
                </c:pt>
              </c:strCache>
            </c:strRef>
          </c:cat>
          <c:val>
            <c:numRef>
              <c:f>Planilha3!$B$4:$N$4</c:f>
              <c:numCache>
                <c:formatCode>General</c:formatCode>
                <c:ptCount val="13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11</c:v>
                </c:pt>
                <c:pt idx="5">
                  <c:v>5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C0-4E28-834E-426F58BF6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946160"/>
        <c:axId val="1130947600"/>
      </c:lineChart>
      <c:catAx>
        <c:axId val="113094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30947600"/>
        <c:crosses val="autoZero"/>
        <c:auto val="1"/>
        <c:lblAlgn val="ctr"/>
        <c:lblOffset val="100"/>
        <c:noMultiLvlLbl val="0"/>
      </c:catAx>
      <c:valAx>
        <c:axId val="113094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13094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6</xdr:row>
      <xdr:rowOff>57150</xdr:rowOff>
    </xdr:from>
    <xdr:to>
      <xdr:col>12</xdr:col>
      <xdr:colOff>219074</xdr:colOff>
      <xdr:row>20</xdr:row>
      <xdr:rowOff>117475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B924E0-A170-4538-8D82-A91999F09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</xdr:colOff>
      <xdr:row>18</xdr:row>
      <xdr:rowOff>114300</xdr:rowOff>
    </xdr:from>
    <xdr:to>
      <xdr:col>6</xdr:col>
      <xdr:colOff>476250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B4EC57-AAA1-4FD7-8D79-41A92F857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1190626</xdr:colOff>
      <xdr:row>43</xdr:row>
      <xdr:rowOff>85725</xdr:rowOff>
    </xdr:from>
    <xdr:to>
      <xdr:col>6</xdr:col>
      <xdr:colOff>409576</xdr:colOff>
      <xdr:row>60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7ADE24-F3A5-4CE4-B289-A15F086A9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13</xdr:row>
      <xdr:rowOff>19050</xdr:rowOff>
    </xdr:from>
    <xdr:to>
      <xdr:col>6</xdr:col>
      <xdr:colOff>85726</xdr:colOff>
      <xdr:row>24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309A9D-6106-4BF0-A893-F31E0B103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10</xdr:row>
      <xdr:rowOff>14287</xdr:rowOff>
    </xdr:from>
    <xdr:to>
      <xdr:col>11</xdr:col>
      <xdr:colOff>19049</xdr:colOff>
      <xdr:row>24</xdr:row>
      <xdr:rowOff>90487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F559D0C-B08E-8035-7CEF-6AD5C81A7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bdc0b9d616191f9/MKN-LAUDOS%20-%202026/ABRIL/EDUARDA%20MUNIQUE%20ALVES%20PEREIRA%20-%2012/EDUARDA%20MUNIQUE%20ALVES%20PEREIRA.xlsm" TargetMode="External"/><Relationship Id="rId1" Type="http://schemas.openxmlformats.org/officeDocument/2006/relationships/externalLinkPath" Target="https://d.docs.live.net/3bdc0b9d616191f9/MKN-LAUDOS%20-%202026/ABRIL/EDUARDA%20MUNIQUE%20ALVES%20PEREIRA%20-%2012/EDUARDA%20MUNIQUE%20ALVES%20PEREIRA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bdc0b9d616191f9/unimed-sabia/tabelas%20de%20correcao/Tabela%20Avalia&#231;&#227;o%20Neuropsi.xlsx" TargetMode="External"/><Relationship Id="rId1" Type="http://schemas.openxmlformats.org/officeDocument/2006/relationships/externalLinkPath" Target="https://d.docs.live.net/3bdc0b9d616191f9/unimed-sabia/tabelas%20de%20correcao/Tabela%20Avalia&#231;&#227;o%20Neurop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"/>
      <sheetName val="Início"/>
      <sheetName val="IEP-Normas"/>
      <sheetName val="Menu"/>
      <sheetName val="CADASTRO"/>
      <sheetName val="ETDAH-Pais-Normas"/>
      <sheetName val="ETDAH-2-Normas"/>
      <sheetName val="ProtocoloBranco"/>
      <sheetName val="Tab_Conversao"/>
      <sheetName val="BVMT-Normas"/>
      <sheetName val="HVLT-Normas"/>
      <sheetName val="Neupsilin-Inf-Normas"/>
      <sheetName val="Vineland-3-Ext"/>
      <sheetName val="Vin_3_Ext_Ent"/>
      <sheetName val="Viniland-3-Nomas"/>
      <sheetName val="Vin_3_Dom_Ent"/>
      <sheetName val="Vin_3_Ext_Pais"/>
      <sheetName val="Vin_3_Dom_Pais"/>
      <sheetName val="Vin_3_Ext_Prof"/>
      <sheetName val="Vin_3_Dom_Prof"/>
      <sheetName val="ID-Usuário"/>
      <sheetName val="FORMATAÇÃO"/>
      <sheetName val="SCARED-Normas"/>
      <sheetName val="ProtocoloGeral"/>
      <sheetName val="AC"/>
      <sheetName val="PEP-R_Normas"/>
      <sheetName val="BRIEF_P-Normas"/>
      <sheetName val="RECIBO"/>
      <sheetName val="AC-NORMAS"/>
      <sheetName val="AC-15"/>
      <sheetName val="AC15-Normas"/>
      <sheetName val="BAMS"/>
      <sheetName val="BFP-Normas"/>
      <sheetName val="Bams-Normas"/>
      <sheetName val="BFP"/>
      <sheetName val="BPA"/>
      <sheetName val="BPA-NORMAS"/>
      <sheetName val="BRIEF-2"/>
      <sheetName val="BRIEF2-Normas"/>
      <sheetName val="BRIEF-P"/>
      <sheetName val="BVMT-R"/>
      <sheetName val="CBCL"/>
      <sheetName val="CBCL-Normas"/>
      <sheetName val="CORSI1"/>
      <sheetName val="Funcoes"/>
      <sheetName val="7FIG-7PAL"/>
      <sheetName val="ABAS-3"/>
      <sheetName val="AC15-Normas-Antigas"/>
      <sheetName val="TRILHAS-NORMAS"/>
      <sheetName val="RAVLT - NORMAS"/>
      <sheetName val="Prolec-Normas"/>
      <sheetName val="Corsi"/>
      <sheetName val="CORSI - NORMAS"/>
      <sheetName val="D2-R"/>
      <sheetName val="D2-R-Normas"/>
      <sheetName val="ETDAH-2"/>
      <sheetName val="ETDAH-AD"/>
      <sheetName val="ETDAH-AD-Normas"/>
      <sheetName val="ETDAH-CriAd"/>
      <sheetName val="ETDAH-CriAd-Normas"/>
      <sheetName val="ETDAH-Pais"/>
      <sheetName val="FDT"/>
      <sheetName val="FDT - NORMAS"/>
      <sheetName val="FigRey"/>
      <sheetName val="GO-NO GO"/>
      <sheetName val="Hayling-Normas"/>
      <sheetName val="Fig Rey-NORMAS"/>
      <sheetName val="Hayling"/>
      <sheetName val="HVLT-R"/>
      <sheetName val="IEP"/>
      <sheetName val="Nepsy-2"/>
      <sheetName val="Nepsy2-Normas"/>
      <sheetName val="Neupsilin-Inf"/>
      <sheetName val="NOMEAÇÃO"/>
      <sheetName val="PED-vr"/>
      <sheetName val="PED-vr_Normas"/>
      <sheetName val="PEP-R"/>
      <sheetName val="Pfister"/>
      <sheetName val="Pfister-Normas"/>
      <sheetName val="Prolec"/>
      <sheetName val="Prova_Aritmética"/>
      <sheetName val="Nomeacao-Normas"/>
      <sheetName val="PROVAS SEABRA-NORMAS"/>
      <sheetName val="QEDP"/>
      <sheetName val="RAVLT"/>
      <sheetName val="SCARED"/>
      <sheetName val="SDQ-Pr"/>
      <sheetName val="SNAP-IV"/>
      <sheetName val="ROSETTA"/>
      <sheetName val="SRS2_Adultos"/>
      <sheetName val="SRS2_Escolar"/>
      <sheetName val="SRS2-Normas"/>
      <sheetName val="SRS2_Pre_Escolar"/>
      <sheetName val="STROOP"/>
      <sheetName val="TDE2"/>
      <sheetName val="TDE2-Normas"/>
      <sheetName val="TFV"/>
      <sheetName val="TFV-Normas"/>
      <sheetName val="THCP"/>
      <sheetName val="THCP-Normas"/>
      <sheetName val="TOKEN"/>
      <sheetName val="TOKEN-NORMAS"/>
      <sheetName val="TOL"/>
      <sheetName val="T.LONDRES-NORMAS"/>
      <sheetName val="TRILHAS"/>
      <sheetName val="WAIS-III"/>
      <sheetName val="WAIS-NORMAS"/>
      <sheetName val="WASI"/>
      <sheetName val="WASI-Normas"/>
      <sheetName val="WISC-IV"/>
      <sheetName val="WISC-NORMAS"/>
      <sheetName val="WISCONSIN-NORMAS"/>
      <sheetName val="WSCT48"/>
      <sheetName val="WSCT48-R"/>
      <sheetName val="WISCONSIN"/>
      <sheetName val="STROOP-NORMAS"/>
      <sheetName val="RAVLT-NORMAS-antigas"/>
      <sheetName val="D2 - NORMAS"/>
      <sheetName val="GO-NO GO - NORM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47">
          <cell r="U47" t="str">
            <v>ICV</v>
          </cell>
          <cell r="V47">
            <v>125</v>
          </cell>
        </row>
        <row r="48">
          <cell r="U48" t="str">
            <v>IOP</v>
          </cell>
          <cell r="V48">
            <v>86</v>
          </cell>
        </row>
        <row r="49">
          <cell r="U49" t="str">
            <v>IMO</v>
          </cell>
          <cell r="V49">
            <v>88</v>
          </cell>
        </row>
        <row r="50">
          <cell r="U50" t="str">
            <v>IVP</v>
          </cell>
          <cell r="V50">
            <v>83</v>
          </cell>
        </row>
        <row r="52">
          <cell r="U52" t="str">
            <v>QI Total</v>
          </cell>
          <cell r="V52">
            <v>97</v>
          </cell>
        </row>
        <row r="53">
          <cell r="U53" t="str">
            <v>GAI</v>
          </cell>
          <cell r="V53">
            <v>106</v>
          </cell>
        </row>
        <row r="54">
          <cell r="U54" t="str">
            <v>CPI</v>
          </cell>
          <cell r="V54">
            <v>83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N-R"/>
      <sheetName val="THCP"/>
      <sheetName val="WASI"/>
      <sheetName val=" WISC IV ICV"/>
      <sheetName val="WAIS-III"/>
      <sheetName val="BPA-6-7"/>
      <sheetName val="BPA-8-10"/>
      <sheetName val="BPA-11-14"/>
      <sheetName val="BPA-15-17"/>
      <sheetName val="BPA-18-30"/>
      <sheetName val="BPA-31-40"/>
      <sheetName val="BPA-41-50"/>
      <sheetName val="BPA-51-60"/>
      <sheetName val="BPA-60-100"/>
      <sheetName val="FDT-6-8"/>
      <sheetName val="FDT-09-10"/>
      <sheetName val="FDT-11-12"/>
      <sheetName val="FDT-13-15"/>
      <sheetName val="FDT-16-18"/>
      <sheetName val="FDT-19-34"/>
      <sheetName val="FDT-35-59"/>
      <sheetName val="FDT-60-75"/>
      <sheetName val="FDT-79 +"/>
      <sheetName val="RAVLT-6-8"/>
      <sheetName val="RAVLT-9-11"/>
      <sheetName val="RAVLT-12-14"/>
      <sheetName val="RAVLT-15-17"/>
      <sheetName val="RAVLT-18-20"/>
      <sheetName val="RAVLT-21-30"/>
      <sheetName val="RAVLT-31-40"/>
      <sheetName val="RAVLT-41-50"/>
      <sheetName val="RAVLT-51-60"/>
      <sheetName val="RAVLT-61-70"/>
      <sheetName val="EBADEP-IJ"/>
      <sheetName val="CALCULAR 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B2" t="str">
            <v>A1</v>
          </cell>
          <cell r="C2" t="str">
            <v>A2</v>
          </cell>
          <cell r="D2" t="str">
            <v>A3</v>
          </cell>
          <cell r="E2" t="str">
            <v>A4</v>
          </cell>
          <cell r="F2" t="str">
            <v>A5</v>
          </cell>
          <cell r="G2" t="str">
            <v>B1</v>
          </cell>
          <cell r="H2" t="str">
            <v>A6</v>
          </cell>
          <cell r="I2" t="str">
            <v>A7</v>
          </cell>
          <cell r="J2" t="str">
            <v>R</v>
          </cell>
          <cell r="K2" t="str">
            <v>ALT</v>
          </cell>
          <cell r="L2" t="str">
            <v>RET</v>
          </cell>
          <cell r="M2" t="str">
            <v>I.P.</v>
          </cell>
          <cell r="N2" t="str">
            <v>I.R.</v>
          </cell>
        </row>
        <row r="3">
          <cell r="A3" t="str">
            <v>Esperado</v>
          </cell>
          <cell r="B3">
            <v>6</v>
          </cell>
          <cell r="C3">
            <v>8</v>
          </cell>
          <cell r="D3">
            <v>10</v>
          </cell>
          <cell r="E3">
            <v>10</v>
          </cell>
          <cell r="F3">
            <v>11</v>
          </cell>
          <cell r="G3">
            <v>6</v>
          </cell>
          <cell r="H3">
            <v>10</v>
          </cell>
          <cell r="I3">
            <v>10</v>
          </cell>
          <cell r="J3">
            <v>15</v>
          </cell>
          <cell r="K3">
            <v>13</v>
          </cell>
          <cell r="L3">
            <v>1</v>
          </cell>
          <cell r="M3">
            <v>0.88</v>
          </cell>
          <cell r="N3">
            <v>0.9</v>
          </cell>
        </row>
        <row r="4">
          <cell r="A4" t="str">
            <v>Mínimo</v>
          </cell>
          <cell r="B4">
            <v>5</v>
          </cell>
          <cell r="C4">
            <v>6</v>
          </cell>
          <cell r="D4">
            <v>7</v>
          </cell>
          <cell r="E4">
            <v>9</v>
          </cell>
          <cell r="F4">
            <v>10</v>
          </cell>
          <cell r="G4">
            <v>4</v>
          </cell>
          <cell r="H4">
            <v>9</v>
          </cell>
          <cell r="I4">
            <v>7</v>
          </cell>
          <cell r="J4">
            <v>12</v>
          </cell>
          <cell r="K4">
            <v>7</v>
          </cell>
          <cell r="L4">
            <v>0.89</v>
          </cell>
          <cell r="M4">
            <v>0.73</v>
          </cell>
          <cell r="N4">
            <v>0.8</v>
          </cell>
        </row>
        <row r="5">
          <cell r="A5" t="str">
            <v xml:space="preserve">Obtido </v>
          </cell>
          <cell r="B5">
            <v>7</v>
          </cell>
          <cell r="C5">
            <v>9</v>
          </cell>
          <cell r="D5">
            <v>10</v>
          </cell>
          <cell r="E5">
            <v>12</v>
          </cell>
          <cell r="F5">
            <v>13</v>
          </cell>
          <cell r="G5">
            <v>5</v>
          </cell>
          <cell r="H5">
            <v>10</v>
          </cell>
          <cell r="I5">
            <v>10</v>
          </cell>
          <cell r="J5">
            <v>13</v>
          </cell>
          <cell r="K5">
            <v>16</v>
          </cell>
          <cell r="L5">
            <v>1</v>
          </cell>
          <cell r="M5">
            <v>0.71</v>
          </cell>
          <cell r="N5">
            <v>0.77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34" sqref="G3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795A-8164-4431-A74E-6309AAFFE39E}">
  <dimension ref="A1:H17"/>
  <sheetViews>
    <sheetView topLeftCell="A28" workbookViewId="0">
      <selection activeCell="C17" sqref="C17"/>
    </sheetView>
  </sheetViews>
  <sheetFormatPr defaultRowHeight="15" x14ac:dyDescent="0.25"/>
  <cols>
    <col min="1" max="9" width="18.28515625" customWidth="1"/>
  </cols>
  <sheetData>
    <row r="1" spans="1:8" ht="15.75" x14ac:dyDescent="0.25">
      <c r="A1" s="5"/>
      <c r="B1" s="5" t="s">
        <v>14</v>
      </c>
      <c r="C1" s="5"/>
      <c r="D1" s="5"/>
      <c r="E1" s="5"/>
      <c r="F1" s="5"/>
      <c r="G1" s="5"/>
      <c r="H1" s="5"/>
    </row>
    <row r="2" spans="1:8" ht="15.75" x14ac:dyDescent="0.25">
      <c r="A2" s="5"/>
      <c r="B2" s="5"/>
      <c r="C2" s="5"/>
      <c r="D2" s="5"/>
      <c r="E2" s="5"/>
      <c r="F2" s="5"/>
      <c r="G2" s="5"/>
      <c r="H2" s="5"/>
    </row>
    <row r="3" spans="1:8" ht="16.5" thickBot="1" x14ac:dyDescent="0.3">
      <c r="A3" s="5"/>
      <c r="B3" s="1" t="s">
        <v>10</v>
      </c>
      <c r="C3" s="1" t="s">
        <v>9</v>
      </c>
      <c r="D3" s="1" t="s">
        <v>8</v>
      </c>
      <c r="E3" s="1" t="s">
        <v>7</v>
      </c>
      <c r="F3" s="1" t="s">
        <v>6</v>
      </c>
      <c r="G3" s="1" t="s">
        <v>5</v>
      </c>
      <c r="H3" s="1" t="s">
        <v>4</v>
      </c>
    </row>
    <row r="4" spans="1:8" ht="16.5" thickBot="1" x14ac:dyDescent="0.3">
      <c r="A4" s="5" t="s">
        <v>13</v>
      </c>
      <c r="B4" s="8">
        <v>22</v>
      </c>
      <c r="C4" s="7">
        <v>18.59</v>
      </c>
      <c r="D4" s="6">
        <v>0</v>
      </c>
      <c r="E4" s="6">
        <v>75</v>
      </c>
      <c r="F4" s="10">
        <v>5</v>
      </c>
      <c r="G4" s="10">
        <v>25</v>
      </c>
      <c r="H4" s="10">
        <v>50</v>
      </c>
    </row>
    <row r="5" spans="1:8" ht="16.5" thickBot="1" x14ac:dyDescent="0.3">
      <c r="A5" s="5" t="s">
        <v>12</v>
      </c>
      <c r="B5" s="4">
        <v>24.8</v>
      </c>
      <c r="C5" s="3">
        <v>21.9</v>
      </c>
      <c r="D5" s="2">
        <v>0</v>
      </c>
      <c r="E5" s="2">
        <v>75</v>
      </c>
      <c r="F5" s="10">
        <v>5</v>
      </c>
      <c r="G5" s="10">
        <v>25</v>
      </c>
      <c r="H5" s="10">
        <v>50</v>
      </c>
    </row>
    <row r="6" spans="1:8" ht="15.75" x14ac:dyDescent="0.25">
      <c r="A6" s="5"/>
      <c r="B6" s="10"/>
      <c r="C6" s="10"/>
      <c r="D6" s="10"/>
      <c r="E6" s="11"/>
      <c r="F6" s="10"/>
      <c r="G6" s="10"/>
      <c r="H6" s="10"/>
    </row>
    <row r="7" spans="1:8" x14ac:dyDescent="0.25">
      <c r="A7" s="9"/>
      <c r="B7" s="9"/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  <row r="10" spans="1:8" ht="15.75" x14ac:dyDescent="0.25">
      <c r="A10" s="5"/>
      <c r="B10" s="5"/>
      <c r="C10" s="5"/>
      <c r="D10" s="5"/>
      <c r="E10" s="5"/>
      <c r="F10" s="5"/>
      <c r="G10" s="5"/>
      <c r="H10" s="5"/>
    </row>
    <row r="11" spans="1:8" ht="15.75" x14ac:dyDescent="0.25">
      <c r="A11" s="5"/>
      <c r="B11" s="5" t="s">
        <v>11</v>
      </c>
      <c r="C11" s="5"/>
      <c r="D11" s="5"/>
      <c r="E11" s="5"/>
      <c r="F11" s="5"/>
      <c r="G11" s="5"/>
      <c r="H11" s="5"/>
    </row>
    <row r="12" spans="1:8" ht="15.75" x14ac:dyDescent="0.25">
      <c r="A12" s="5"/>
      <c r="B12" s="5"/>
      <c r="C12" s="5"/>
      <c r="D12" s="5"/>
      <c r="E12" s="5"/>
      <c r="F12" s="5"/>
      <c r="G12" s="5"/>
      <c r="H12" s="5"/>
    </row>
    <row r="13" spans="1:8" ht="16.5" thickBot="1" x14ac:dyDescent="0.3">
      <c r="A13" s="5"/>
      <c r="B13" s="1" t="s">
        <v>10</v>
      </c>
      <c r="C13" s="1" t="s">
        <v>9</v>
      </c>
      <c r="D13" s="1" t="s">
        <v>8</v>
      </c>
      <c r="E13" s="1" t="s">
        <v>7</v>
      </c>
      <c r="F13" s="1" t="s">
        <v>6</v>
      </c>
      <c r="G13" s="1" t="s">
        <v>5</v>
      </c>
      <c r="H13" s="1" t="s">
        <v>4</v>
      </c>
    </row>
    <row r="14" spans="1:8" ht="16.5" thickBot="1" x14ac:dyDescent="0.3">
      <c r="A14" s="5" t="s">
        <v>3</v>
      </c>
      <c r="B14" s="8">
        <v>36.9</v>
      </c>
      <c r="C14" s="7">
        <v>40</v>
      </c>
      <c r="D14" s="6">
        <v>0</v>
      </c>
      <c r="E14" s="6">
        <v>75</v>
      </c>
      <c r="F14" s="1">
        <v>5</v>
      </c>
      <c r="G14" s="1">
        <v>25</v>
      </c>
      <c r="H14" s="1">
        <v>50</v>
      </c>
    </row>
    <row r="15" spans="1:8" ht="16.5" thickBot="1" x14ac:dyDescent="0.3">
      <c r="A15" s="5" t="s">
        <v>2</v>
      </c>
      <c r="B15" s="4">
        <v>46</v>
      </c>
      <c r="C15" s="3">
        <v>34.49</v>
      </c>
      <c r="D15" s="2">
        <v>0</v>
      </c>
      <c r="E15" s="2">
        <v>75</v>
      </c>
      <c r="F15" s="1">
        <v>5</v>
      </c>
      <c r="G15" s="1">
        <v>25</v>
      </c>
      <c r="H15" s="1">
        <v>50</v>
      </c>
    </row>
    <row r="16" spans="1:8" ht="16.5" thickBot="1" x14ac:dyDescent="0.3">
      <c r="A16" s="5" t="s">
        <v>1</v>
      </c>
      <c r="B16" s="8">
        <v>14.8</v>
      </c>
      <c r="C16" s="7">
        <v>33</v>
      </c>
      <c r="D16" s="6">
        <v>0</v>
      </c>
      <c r="E16" s="6">
        <v>75</v>
      </c>
      <c r="F16" s="1">
        <v>5</v>
      </c>
      <c r="G16" s="1">
        <v>25</v>
      </c>
      <c r="H16" s="1">
        <v>50</v>
      </c>
    </row>
    <row r="17" spans="1:8" ht="16.5" thickBot="1" x14ac:dyDescent="0.3">
      <c r="A17" s="5" t="s">
        <v>0</v>
      </c>
      <c r="B17" s="4">
        <v>23.9</v>
      </c>
      <c r="C17" s="3">
        <v>15.9</v>
      </c>
      <c r="D17" s="2">
        <v>0</v>
      </c>
      <c r="E17" s="2">
        <v>75</v>
      </c>
      <c r="F17" s="1">
        <v>5</v>
      </c>
      <c r="G17" s="1">
        <v>25</v>
      </c>
      <c r="H17" s="1">
        <v>50</v>
      </c>
    </row>
  </sheetData>
  <mergeCells count="1">
    <mergeCell ref="A7:H9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CBB1-612B-4C5E-8E17-7F3AA0F5022C}">
  <dimension ref="A1:F7"/>
  <sheetViews>
    <sheetView workbookViewId="0">
      <selection activeCell="E33" sqref="E33"/>
    </sheetView>
  </sheetViews>
  <sheetFormatPr defaultRowHeight="15" x14ac:dyDescent="0.25"/>
  <cols>
    <col min="1" max="7" width="17.42578125" customWidth="1"/>
  </cols>
  <sheetData>
    <row r="1" spans="1:6" x14ac:dyDescent="0.25">
      <c r="B1" s="13" t="s">
        <v>24</v>
      </c>
    </row>
    <row r="3" spans="1:6" ht="15.75" x14ac:dyDescent="0.25">
      <c r="B3" s="1" t="s">
        <v>23</v>
      </c>
      <c r="C3" s="1" t="s">
        <v>22</v>
      </c>
      <c r="D3" s="1" t="s">
        <v>21</v>
      </c>
      <c r="E3" s="1" t="s">
        <v>20</v>
      </c>
      <c r="F3" s="14" t="s">
        <v>19</v>
      </c>
    </row>
    <row r="4" spans="1:6" x14ac:dyDescent="0.25">
      <c r="A4" s="13" t="s">
        <v>18</v>
      </c>
      <c r="B4" s="12">
        <v>120</v>
      </c>
      <c r="C4" s="12">
        <v>86</v>
      </c>
      <c r="D4" s="12">
        <v>59</v>
      </c>
      <c r="E4" s="12">
        <v>88</v>
      </c>
      <c r="F4" s="12">
        <v>50</v>
      </c>
    </row>
    <row r="5" spans="1:6" x14ac:dyDescent="0.25">
      <c r="A5" s="13" t="s">
        <v>17</v>
      </c>
      <c r="B5" s="12">
        <v>118</v>
      </c>
      <c r="C5" s="12">
        <v>62</v>
      </c>
      <c r="D5" s="12">
        <v>26</v>
      </c>
      <c r="E5" s="12">
        <v>79</v>
      </c>
      <c r="F5" s="12">
        <v>75</v>
      </c>
    </row>
    <row r="6" spans="1:6" x14ac:dyDescent="0.25">
      <c r="A6" s="13" t="s">
        <v>16</v>
      </c>
      <c r="B6" s="12">
        <v>120</v>
      </c>
      <c r="C6" s="12">
        <v>77</v>
      </c>
      <c r="D6" s="12">
        <v>45</v>
      </c>
      <c r="E6" s="12">
        <v>86</v>
      </c>
      <c r="F6" s="12">
        <v>60</v>
      </c>
    </row>
    <row r="7" spans="1:6" x14ac:dyDescent="0.25">
      <c r="A7" s="13" t="s">
        <v>15</v>
      </c>
      <c r="B7" s="12">
        <v>341</v>
      </c>
      <c r="C7" s="12">
        <v>222</v>
      </c>
      <c r="D7" s="12">
        <v>150</v>
      </c>
      <c r="E7" s="12">
        <f>E4+E5+E6</f>
        <v>253</v>
      </c>
      <c r="F7" s="12">
        <v>70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34D0-87A1-4A54-836A-517F86921A87}">
  <dimension ref="A1:N4"/>
  <sheetViews>
    <sheetView workbookViewId="0">
      <selection activeCell="M24" sqref="M24"/>
    </sheetView>
  </sheetViews>
  <sheetFormatPr defaultRowHeight="15" x14ac:dyDescent="0.25"/>
  <sheetData>
    <row r="1" spans="1:14" ht="16.5" thickBot="1" x14ac:dyDescent="0.3">
      <c r="A1" s="15" t="s">
        <v>25</v>
      </c>
      <c r="B1" s="16" t="s">
        <v>26</v>
      </c>
      <c r="C1" s="16" t="s">
        <v>27</v>
      </c>
      <c r="D1" s="16" t="s">
        <v>28</v>
      </c>
      <c r="E1" s="16" t="s">
        <v>29</v>
      </c>
      <c r="F1" s="16" t="s">
        <v>30</v>
      </c>
      <c r="G1" s="16" t="s">
        <v>31</v>
      </c>
      <c r="H1" s="16" t="s">
        <v>32</v>
      </c>
      <c r="I1" s="16" t="s">
        <v>33</v>
      </c>
      <c r="J1" s="17" t="s">
        <v>34</v>
      </c>
      <c r="K1" s="18" t="s">
        <v>35</v>
      </c>
      <c r="L1" s="19" t="s">
        <v>36</v>
      </c>
      <c r="M1" s="19" t="s">
        <v>37</v>
      </c>
      <c r="N1" s="20" t="s">
        <v>38</v>
      </c>
    </row>
    <row r="2" spans="1:14" ht="16.5" thickBot="1" x14ac:dyDescent="0.3">
      <c r="A2" s="21" t="s">
        <v>39</v>
      </c>
      <c r="B2" s="22">
        <v>6</v>
      </c>
      <c r="C2" s="22">
        <v>8</v>
      </c>
      <c r="D2" s="22">
        <v>10</v>
      </c>
      <c r="E2" s="22">
        <v>10</v>
      </c>
      <c r="F2" s="22">
        <v>11</v>
      </c>
      <c r="G2" s="22">
        <v>6</v>
      </c>
      <c r="H2" s="22">
        <v>10</v>
      </c>
      <c r="I2" s="22">
        <v>10</v>
      </c>
      <c r="J2" s="23">
        <v>15</v>
      </c>
      <c r="K2" s="24">
        <v>13</v>
      </c>
      <c r="L2" s="25">
        <v>1</v>
      </c>
      <c r="M2" s="26">
        <v>0.88</v>
      </c>
      <c r="N2" s="27">
        <v>0.9</v>
      </c>
    </row>
    <row r="3" spans="1:14" ht="16.5" thickBot="1" x14ac:dyDescent="0.3">
      <c r="A3" s="21" t="s">
        <v>40</v>
      </c>
      <c r="B3" s="22">
        <v>5</v>
      </c>
      <c r="C3" s="22">
        <v>6</v>
      </c>
      <c r="D3" s="22">
        <v>7</v>
      </c>
      <c r="E3" s="22">
        <v>9</v>
      </c>
      <c r="F3" s="22">
        <v>10</v>
      </c>
      <c r="G3" s="22">
        <v>4</v>
      </c>
      <c r="H3" s="22">
        <v>9</v>
      </c>
      <c r="I3" s="22">
        <v>7</v>
      </c>
      <c r="J3" s="23">
        <v>12</v>
      </c>
      <c r="K3" s="24">
        <v>7</v>
      </c>
      <c r="L3" s="24">
        <v>0.89</v>
      </c>
      <c r="M3" s="24">
        <v>0.73</v>
      </c>
      <c r="N3" s="28">
        <v>0.8</v>
      </c>
    </row>
    <row r="4" spans="1:14" ht="16.5" thickBot="1" x14ac:dyDescent="0.3">
      <c r="A4" s="21" t="s">
        <v>41</v>
      </c>
      <c r="B4" s="22">
        <v>5</v>
      </c>
      <c r="C4" s="22">
        <v>7</v>
      </c>
      <c r="D4" s="22">
        <v>8</v>
      </c>
      <c r="E4" s="22">
        <v>8</v>
      </c>
      <c r="F4" s="22">
        <v>11</v>
      </c>
      <c r="G4" s="22">
        <v>5</v>
      </c>
      <c r="H4" s="22">
        <v>9</v>
      </c>
      <c r="I4" s="22">
        <v>10</v>
      </c>
      <c r="J4" s="23">
        <v>15</v>
      </c>
      <c r="K4" s="29">
        <v>25</v>
      </c>
      <c r="L4" s="30">
        <v>1</v>
      </c>
      <c r="M4" s="31">
        <v>1</v>
      </c>
      <c r="N4" s="32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WISC-IV</vt:lpstr>
      <vt:lpstr>FDT</vt:lpstr>
      <vt:lpstr>BPA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Ferreira Silva</dc:creator>
  <cp:lastModifiedBy>André Ferreira Silva</cp:lastModifiedBy>
  <dcterms:created xsi:type="dcterms:W3CDTF">2015-06-05T18:19:34Z</dcterms:created>
  <dcterms:modified xsi:type="dcterms:W3CDTF">2026-04-28T11:52:30Z</dcterms:modified>
</cp:coreProperties>
</file>